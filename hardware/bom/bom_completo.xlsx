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56973\Desktop\TEI-201-Secci-n-4-Grupo-9\hardware\bom\"/>
    </mc:Choice>
  </mc:AlternateContent>
  <xr:revisionPtr revIDLastSave="0" documentId="13_ncr:1_{AE8FACF6-B981-4FBB-BE40-72D3899B093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M" sheetId="1" r:id="rId1"/>
    <sheet name="Resumen" sheetId="2" r:id="rId2"/>
  </sheets>
  <definedNames>
    <definedName name="_xlnm.Print_Area" localSheetId="0">BOM!$A$2:$M$25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2" i="1" l="1"/>
  <c r="B8" i="2"/>
  <c r="C7" i="2"/>
  <c r="B7" i="2"/>
  <c r="C6" i="2"/>
  <c r="B6" i="2"/>
  <c r="C5" i="2"/>
  <c r="B5" i="2"/>
  <c r="C4" i="2"/>
  <c r="B4" i="2"/>
  <c r="J22" i="1"/>
  <c r="J21" i="1"/>
  <c r="C8" i="2" s="1"/>
  <c r="J20" i="1"/>
  <c r="J19" i="1"/>
  <c r="J18" i="1"/>
  <c r="J17" i="1"/>
  <c r="J16" i="1"/>
  <c r="J15" i="1"/>
  <c r="J14" i="1"/>
  <c r="J13" i="1"/>
  <c r="J11" i="1"/>
  <c r="J10" i="1"/>
  <c r="J9" i="1"/>
  <c r="J8" i="1"/>
  <c r="J7" i="1"/>
  <c r="D5" i="2" l="1"/>
  <c r="J23" i="1"/>
  <c r="D8" i="2"/>
  <c r="D7" i="2"/>
  <c r="D6" i="2"/>
  <c r="C9" i="2"/>
  <c r="D4" i="2"/>
  <c r="B9" i="2"/>
  <c r="D9" i="2" l="1"/>
  <c r="D11" i="2" s="1"/>
</calcChain>
</file>

<file path=xl/sharedStrings.xml><?xml version="1.0" encoding="utf-8"?>
<sst xmlns="http://schemas.openxmlformats.org/spreadsheetml/2006/main" count="124" uniqueCount="74">
  <si>
    <t>SafeRest - Bill of Materials (BOM)</t>
  </si>
  <si>
    <t>Sistema</t>
  </si>
  <si>
    <t>Categoría</t>
  </si>
  <si>
    <t>Cantidad</t>
  </si>
  <si>
    <t>Componente</t>
  </si>
  <si>
    <t>Especificación</t>
  </si>
  <si>
    <t>Fabricante</t>
  </si>
  <si>
    <t>Proveedor</t>
  </si>
  <si>
    <t>Precio Unitario (CLP)</t>
  </si>
  <si>
    <t>Precio Total (CLP)</t>
  </si>
  <si>
    <t>Datasheet</t>
  </si>
  <si>
    <t>Mat</t>
  </si>
  <si>
    <t>Sensores</t>
  </si>
  <si>
    <t>Celda de carga 50 kg (tipo barra)</t>
  </si>
  <si>
    <t>50 kg, con 4 celdas en el mat</t>
  </si>
  <si>
    <t>Módulo amplificador HX711</t>
  </si>
  <si>
    <t>Amplificador de celdas de carga</t>
  </si>
  <si>
    <t>Microcontrolador</t>
  </si>
  <si>
    <t>Wemos D1 (ESP8266)</t>
  </si>
  <si>
    <t>Formato Uno, WiFi/ESP-NOW</t>
  </si>
  <si>
    <t>Otros</t>
  </si>
  <si>
    <t>Cables de conexión (lote)</t>
  </si>
  <si>
    <t>Jumpers para el prototipo</t>
  </si>
  <si>
    <t>Control</t>
  </si>
  <si>
    <t>Wemos D1 mini (ESP8266)</t>
  </si>
  <si>
    <t>ESP-NOW</t>
  </si>
  <si>
    <t>Actuadores</t>
  </si>
  <si>
    <t>Buzzer</t>
  </si>
  <si>
    <t>Alerta sonora</t>
  </si>
  <si>
    <t>Pulsador (botón)</t>
  </si>
  <si>
    <t>Silencia la alarma</t>
  </si>
  <si>
    <t>Módulo UPS con USB-A y micro-USB</t>
  </si>
  <si>
    <t>Con interruptor ON/OFF</t>
  </si>
  <si>
    <t>Batería 18650</t>
  </si>
  <si>
    <t>Li-ion 3,7 V</t>
  </si>
  <si>
    <t>Protoboard</t>
  </si>
  <si>
    <t>Prototipo (luego se cambia por perfboard)</t>
  </si>
  <si>
    <t>Cargador USB 5 V (enchufe de celular)</t>
  </si>
  <si>
    <t>Carga el UPS</t>
  </si>
  <si>
    <t>Cable micro-USB</t>
  </si>
  <si>
    <t>TOTAL</t>
  </si>
  <si>
    <t>Presupuesto por categoría (CLP)</t>
  </si>
  <si>
    <t>Total</t>
  </si>
  <si>
    <t>Control de cuadratura (debe ser 0):</t>
  </si>
  <si>
    <t>https://hubot.cl/producto/celda-de-carga-50-kg/</t>
  </si>
  <si>
    <t>https://afel.cl/products/pack-60-cables-de-conexion?variant=45125231935640</t>
  </si>
  <si>
    <t>https://afel.cl/products/wemos-d1-wifi-esp8266-microcontrolador?variant=45125241274520</t>
  </si>
  <si>
    <t>https://afel.cl/products/mini-protoboard-400-puntos?variant=45125249663128</t>
  </si>
  <si>
    <t>https://afel.cl/products/bateria-recargable-18650-3-7v-1800mah?variant=47345143513240</t>
  </si>
  <si>
    <t>Cables de conexión (1mt)</t>
  </si>
  <si>
    <t>https://afel.cl/products/cable-dupont-plano-40-pines-1mt?variant=45125273223320</t>
  </si>
  <si>
    <t>https://afel.cl/products/boton-tactil-tapa-12x12x7-3-interruptor?variant=45125247631512</t>
  </si>
  <si>
    <t>https://afel.cl/products/wemos-d1-mini-esp8266-wifi-esp-12f?variant=45125214142616</t>
  </si>
  <si>
    <t>https://afel.cl/products/buzzer-activo?variant=45125217190040</t>
  </si>
  <si>
    <t>https://hubot.cl/producto/modulo-cargador-usb-para-bateria-18650-v3-para-mcu-sku-672/</t>
  </si>
  <si>
    <t>https://mcielectronics.cl/shop/product/cable-micro-usb-30cm/</t>
  </si>
  <si>
    <t>MCI08003</t>
  </si>
  <si>
    <t>https://hubot.cl/producto/adaptador-dc-raspberry-pi-3-5v-3-amperes/</t>
  </si>
  <si>
    <t>https://afel.cl/products/sensor-peso-y-presion-transmisor-de-celda-de-carga-hx711?_pos=2&amp;_sid=12394d1de&amp;_ss=r</t>
  </si>
  <si>
    <t>Genérico</t>
  </si>
  <si>
    <t>Kuongshun</t>
  </si>
  <si>
    <t>Solo materiales usados hasta ahora. Se agregarán filas a medida que avance el proyecto.</t>
  </si>
  <si>
    <t>Estructura</t>
  </si>
  <si>
    <t>Código</t>
  </si>
  <si>
    <t>celda_carga_datasheet.pdf</t>
  </si>
  <si>
    <t>HX711_datasheet.pdf</t>
  </si>
  <si>
    <t>Transistor 2N2222</t>
  </si>
  <si>
    <t>Resistencia 1 kΩ</t>
  </si>
  <si>
    <t>https://hubot.cl/producto/transistor-2n2222-to-92-sku-668h3/</t>
  </si>
  <si>
    <t>https://www.onsemi.com/pdf/datasheet/p2n2222a-d.pdf</t>
  </si>
  <si>
    <t>1 kΩ, entre D5 y la base del transistor</t>
  </si>
  <si>
    <t>406-1</t>
  </si>
  <si>
    <t>https://hubot.cl/producto/20-resistencias-14w-1-distintos-valores/</t>
  </si>
  <si>
    <t>NPN TO-92, activa el buzzer desde D5 (datasheet de la variante P2N2222A)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</si>
</sst>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&quot;$&quot;#,##0"/>
  </numFmts>
  <fonts count="14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sz val="10"/>
      <color rgb="FF050505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sz val="10"/>
      <color theme="1"/>
      <name val="Arial"/>
      <family val="2"/>
    </font>
    <font>
      <i/>
      <sz val="10"/>
      <color rgb="FF595959"/>
      <name val="Arial"/>
      <family val="2"/>
    </font>
    <font>
      <u/>
      <sz val="10"/>
      <color theme="10"/>
      <name val="Arial"/>
      <family val="2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6" fillId="0" borderId="0" xfId="0" applyFont="1"/>
    <xf numFmtId="1" fontId="0" fillId="0" borderId="0" xfId="0" applyNumberFormat="1"/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164" fontId="3" fillId="3" borderId="2" xfId="0" applyNumberFormat="1" applyFont="1" applyFill="1" applyBorder="1" applyAlignment="1">
      <alignment horizontal="right"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right" vertical="center"/>
    </xf>
    <xf numFmtId="0" fontId="8" fillId="0" borderId="3" xfId="0" applyFont="1" applyBorder="1" applyAlignment="1">
      <alignment vertical="center" wrapText="1"/>
    </xf>
    <xf numFmtId="165" fontId="7" fillId="4" borderId="3" xfId="0" applyNumberFormat="1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right" vertical="center" wrapText="1"/>
    </xf>
    <xf numFmtId="0" fontId="11" fillId="0" borderId="0" xfId="0" applyFont="1"/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2" fillId="5" borderId="3" xfId="1" applyFont="1" applyFill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164" fontId="8" fillId="5" borderId="3" xfId="0" applyNumberFormat="1" applyFont="1" applyFill="1" applyBorder="1" applyAlignment="1">
      <alignment horizontal="right" vertical="center" wrapText="1"/>
    </xf>
    <xf numFmtId="164" fontId="8" fillId="4" borderId="3" xfId="0" applyNumberFormat="1" applyFont="1" applyFill="1" applyBorder="1" applyAlignment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fel.cl/products/pack-60-cables-de-conexion?variant=45125231935640" TargetMode="External"/><Relationship Id="rId13" Type="http://schemas.openxmlformats.org/officeDocument/2006/relationships/hyperlink" Target="https://afel.cl/products/sensor-peso-y-presion-transmisor-de-celda-de-carga-hx711?_pos=2&amp;_sid=12394d1de&amp;_ss=r" TargetMode="External"/><Relationship Id="rId18" Type="http://schemas.openxmlformats.org/officeDocument/2006/relationships/hyperlink" Target="https://afel.cl/products/wemos-d1-mini-esp8266-wifi-esp-12f?variant=45125214142616" TargetMode="External"/><Relationship Id="rId3" Type="http://schemas.openxmlformats.org/officeDocument/2006/relationships/hyperlink" Target="https://afel.cl/products/wemos-d1-mini-esp8266-wifi-esp-12f?variant=45125214142616" TargetMode="External"/><Relationship Id="rId21" Type="http://schemas.openxmlformats.org/officeDocument/2006/relationships/hyperlink" Target="https://www.onsemi.com/pdf/datasheet/p2n2222a-d.pdf" TargetMode="External"/><Relationship Id="rId7" Type="http://schemas.openxmlformats.org/officeDocument/2006/relationships/hyperlink" Target="https://afel.cl/products/mini-protoboard-400-puntos?variant=45125249663128" TargetMode="External"/><Relationship Id="rId12" Type="http://schemas.openxmlformats.org/officeDocument/2006/relationships/hyperlink" Target="https://hubot.cl/producto/adaptador-dc-raspberry-pi-3-5v-3-amperes/" TargetMode="External"/><Relationship Id="rId17" Type="http://schemas.openxmlformats.org/officeDocument/2006/relationships/hyperlink" Target="https://cdn.sparkfun.com/assets/1/9/7/7/b/loadsensor.pdf" TargetMode="External"/><Relationship Id="rId2" Type="http://schemas.openxmlformats.org/officeDocument/2006/relationships/hyperlink" Target="https://afel.cl/products/boton-tactil-tapa-12x12x7-3-interruptor?variant=45125247631512" TargetMode="External"/><Relationship Id="rId16" Type="http://schemas.openxmlformats.org/officeDocument/2006/relationships/hyperlink" Target="https://hubot.cl/producto/modulo-cargador-usb-para-bateria-18650-v3-para-mcu-sku-672/" TargetMode="External"/><Relationship Id="rId20" Type="http://schemas.openxmlformats.org/officeDocument/2006/relationships/hyperlink" Target="https://hubot.cl/producto/transistor-2n2222-to-92-sku-668h3/" TargetMode="External"/><Relationship Id="rId1" Type="http://schemas.openxmlformats.org/officeDocument/2006/relationships/hyperlink" Target="https://afel.cl/products/bateria-recargable-18650-3-7v-1800mah?variant=47345143513240" TargetMode="External"/><Relationship Id="rId6" Type="http://schemas.openxmlformats.org/officeDocument/2006/relationships/hyperlink" Target="https://afel.cl/products/wemos-d1-wifi-esp8266-microcontrolador?variant=45125241274520" TargetMode="External"/><Relationship Id="rId11" Type="http://schemas.openxmlformats.org/officeDocument/2006/relationships/hyperlink" Target="https://mcielectronics.cl/shop/product/cable-micro-usb-30cm/" TargetMode="External"/><Relationship Id="rId5" Type="http://schemas.openxmlformats.org/officeDocument/2006/relationships/hyperlink" Target="https://hubot.cl/producto/celda-de-carga-50-kg/" TargetMode="External"/><Relationship Id="rId15" Type="http://schemas.openxmlformats.org/officeDocument/2006/relationships/hyperlink" Target="https://afel.cl/products/wemos-d1-wifi-esp8266-microcontrolador?variant=45125241274520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hubot.cl/producto/modulo-cargador-usb-para-bateria-18650-v3-para-mcu-sku-672/" TargetMode="External"/><Relationship Id="rId19" Type="http://schemas.openxmlformats.org/officeDocument/2006/relationships/hyperlink" Target="https://afel.cl/products/bateria-recargable-18650-3-7v-1800mah?variant=47345143513240" TargetMode="External"/><Relationship Id="rId4" Type="http://schemas.openxmlformats.org/officeDocument/2006/relationships/hyperlink" Target="https://afel.cl/products/cable-dupont-plano-40-pines-1mt?variant=45125273223320" TargetMode="External"/><Relationship Id="rId9" Type="http://schemas.openxmlformats.org/officeDocument/2006/relationships/hyperlink" Target="https://afel.cl/products/buzzer-activo?variant=45125217190040" TargetMode="External"/><Relationship Id="rId14" Type="http://schemas.openxmlformats.org/officeDocument/2006/relationships/hyperlink" Target="https://cdn.sparkfun.com/datasheets/Sensors/ForceFlex/hx711_english.pdf" TargetMode="External"/><Relationship Id="rId22" Type="http://schemas.openxmlformats.org/officeDocument/2006/relationships/hyperlink" Target="https://hubot.cl/producto/20-resistencias-14w-1-distintos-valor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3"/>
  <sheetViews>
    <sheetView tabSelected="1" zoomScale="74" zoomScaleNormal="100" workbookViewId="0">
      <pane ySplit="6" topLeftCell="A16" activePane="bottomLeft" state="frozen"/>
      <selection pane="bottomLeft" activeCell="Q19" sqref="Q19"/>
    </sheetView>
  </sheetViews>
  <sheetFormatPr baseColWidth="10" defaultColWidth="8.6640625" defaultRowHeight="14.4" x14ac:dyDescent="0.3"/>
  <cols>
    <col min="1" max="1" width="8.33203125" customWidth="1"/>
    <col min="2" max="2" width="14.5546875" customWidth="1"/>
    <col min="3" max="3" width="10" customWidth="1"/>
    <col min="4" max="4" width="12.88671875" customWidth="1"/>
    <col min="5" max="5" width="14.77734375" customWidth="1"/>
    <col min="6" max="6" width="11.44140625" customWidth="1"/>
    <col min="7" max="7" width="10.44140625" customWidth="1"/>
    <col min="8" max="8" width="18" customWidth="1"/>
    <col min="9" max="9" width="14.33203125" customWidth="1"/>
    <col min="10" max="10" width="13.44140625" customWidth="1"/>
    <col min="11" max="11" width="18" customWidth="1"/>
  </cols>
  <sheetData>
    <row r="3" spans="1:11" ht="17.399999999999999" x14ac:dyDescent="0.3">
      <c r="A3" s="1" t="s">
        <v>0</v>
      </c>
    </row>
    <row r="4" spans="1:11" x14ac:dyDescent="0.3">
      <c r="A4" s="22" t="s">
        <v>61</v>
      </c>
    </row>
    <row r="6" spans="1:11" ht="31.5" customHeight="1" x14ac:dyDescent="0.3">
      <c r="A6" s="16" t="s">
        <v>1</v>
      </c>
      <c r="B6" s="16" t="s">
        <v>2</v>
      </c>
      <c r="C6" s="16" t="s">
        <v>3</v>
      </c>
      <c r="D6" s="16" t="s">
        <v>4</v>
      </c>
      <c r="E6" s="16" t="s">
        <v>5</v>
      </c>
      <c r="F6" s="16" t="s">
        <v>6</v>
      </c>
      <c r="G6" s="16" t="s">
        <v>63</v>
      </c>
      <c r="H6" s="16" t="s">
        <v>7</v>
      </c>
      <c r="I6" s="16" t="s">
        <v>8</v>
      </c>
      <c r="J6" s="16" t="s">
        <v>9</v>
      </c>
      <c r="K6" s="16" t="s">
        <v>10</v>
      </c>
    </row>
    <row r="7" spans="1:11" ht="39.6" x14ac:dyDescent="0.3">
      <c r="A7" s="19" t="s">
        <v>11</v>
      </c>
      <c r="B7" s="19" t="s">
        <v>12</v>
      </c>
      <c r="C7" s="26">
        <v>4</v>
      </c>
      <c r="D7" s="19" t="s">
        <v>13</v>
      </c>
      <c r="E7" s="19" t="s">
        <v>14</v>
      </c>
      <c r="F7" s="18" t="s">
        <v>59</v>
      </c>
      <c r="G7" s="17">
        <v>599</v>
      </c>
      <c r="H7" s="25" t="s">
        <v>44</v>
      </c>
      <c r="I7" s="27">
        <v>2400</v>
      </c>
      <c r="J7" s="28">
        <f t="shared" ref="J7:J22" si="0">IF(I7="",0,C7*I7)</f>
        <v>9600</v>
      </c>
      <c r="K7" s="25" t="s">
        <v>64</v>
      </c>
    </row>
    <row r="8" spans="1:11" ht="84" customHeight="1" x14ac:dyDescent="0.3">
      <c r="A8" s="19" t="s">
        <v>11</v>
      </c>
      <c r="B8" s="19" t="s">
        <v>12</v>
      </c>
      <c r="C8" s="26">
        <v>1</v>
      </c>
      <c r="D8" s="19" t="s">
        <v>15</v>
      </c>
      <c r="E8" s="19" t="s">
        <v>16</v>
      </c>
      <c r="F8" s="18" t="s">
        <v>60</v>
      </c>
      <c r="G8" s="21">
        <v>1314</v>
      </c>
      <c r="H8" s="25" t="s">
        <v>58</v>
      </c>
      <c r="I8" s="27">
        <v>2300</v>
      </c>
      <c r="J8" s="28">
        <f t="shared" si="0"/>
        <v>2300</v>
      </c>
      <c r="K8" s="25" t="s">
        <v>65</v>
      </c>
    </row>
    <row r="9" spans="1:11" ht="79.2" x14ac:dyDescent="0.3">
      <c r="A9" s="19" t="s">
        <v>11</v>
      </c>
      <c r="B9" s="19" t="s">
        <v>17</v>
      </c>
      <c r="C9" s="26">
        <v>1</v>
      </c>
      <c r="D9" s="19" t="s">
        <v>18</v>
      </c>
      <c r="E9" s="19" t="s">
        <v>19</v>
      </c>
      <c r="F9" s="18" t="s">
        <v>60</v>
      </c>
      <c r="G9" s="18">
        <v>1345</v>
      </c>
      <c r="H9" s="25" t="s">
        <v>46</v>
      </c>
      <c r="I9" s="27">
        <v>8490</v>
      </c>
      <c r="J9" s="28">
        <f t="shared" si="0"/>
        <v>8490</v>
      </c>
      <c r="K9" s="25" t="s">
        <v>46</v>
      </c>
    </row>
    <row r="10" spans="1:11" ht="66" x14ac:dyDescent="0.3">
      <c r="A10" s="19" t="s">
        <v>11</v>
      </c>
      <c r="B10" s="19" t="s">
        <v>20</v>
      </c>
      <c r="C10" s="26">
        <v>1</v>
      </c>
      <c r="D10" s="19" t="s">
        <v>49</v>
      </c>
      <c r="E10" s="19" t="s">
        <v>22</v>
      </c>
      <c r="F10" s="18" t="s">
        <v>59</v>
      </c>
      <c r="G10" s="21">
        <v>1412</v>
      </c>
      <c r="H10" s="25" t="s">
        <v>50</v>
      </c>
      <c r="I10" s="27">
        <v>3000</v>
      </c>
      <c r="J10" s="28">
        <f t="shared" si="0"/>
        <v>3000</v>
      </c>
      <c r="K10" s="21"/>
    </row>
    <row r="11" spans="1:11" ht="66" x14ac:dyDescent="0.3">
      <c r="A11" s="19" t="s">
        <v>23</v>
      </c>
      <c r="B11" s="19" t="s">
        <v>17</v>
      </c>
      <c r="C11" s="26">
        <v>1</v>
      </c>
      <c r="D11" s="19" t="s">
        <v>24</v>
      </c>
      <c r="E11" s="19" t="s">
        <v>25</v>
      </c>
      <c r="F11" s="18" t="s">
        <v>60</v>
      </c>
      <c r="G11" s="21">
        <v>1513</v>
      </c>
      <c r="H11" s="25" t="s">
        <v>52</v>
      </c>
      <c r="I11" s="27">
        <v>4990</v>
      </c>
      <c r="J11" s="28">
        <f t="shared" si="0"/>
        <v>4990</v>
      </c>
      <c r="K11" s="25" t="s">
        <v>52</v>
      </c>
    </row>
    <row r="12" spans="1:11" ht="52.8" x14ac:dyDescent="0.3">
      <c r="A12" s="19" t="s">
        <v>23</v>
      </c>
      <c r="B12" s="19" t="s">
        <v>26</v>
      </c>
      <c r="C12" s="26">
        <v>1</v>
      </c>
      <c r="D12" s="19" t="s">
        <v>27</v>
      </c>
      <c r="E12" s="19" t="s">
        <v>28</v>
      </c>
      <c r="F12" s="18" t="s">
        <v>59</v>
      </c>
      <c r="G12" s="21">
        <v>1451</v>
      </c>
      <c r="H12" s="25" t="s">
        <v>53</v>
      </c>
      <c r="I12" s="27">
        <v>300</v>
      </c>
      <c r="J12" s="28">
        <f>IF(I12="",0,C12*I12)</f>
        <v>300</v>
      </c>
      <c r="K12" s="21"/>
    </row>
    <row r="13" spans="1:11" ht="66" x14ac:dyDescent="0.3">
      <c r="A13" s="19" t="s">
        <v>23</v>
      </c>
      <c r="B13" s="19" t="s">
        <v>20</v>
      </c>
      <c r="C13" s="26">
        <v>1</v>
      </c>
      <c r="D13" s="19" t="s">
        <v>29</v>
      </c>
      <c r="E13" s="19" t="s">
        <v>30</v>
      </c>
      <c r="F13" s="18" t="s">
        <v>59</v>
      </c>
      <c r="G13" s="21">
        <v>1027</v>
      </c>
      <c r="H13" s="25" t="s">
        <v>51</v>
      </c>
      <c r="I13" s="27">
        <v>100</v>
      </c>
      <c r="J13" s="28">
        <f t="shared" si="0"/>
        <v>100</v>
      </c>
      <c r="K13" s="21"/>
    </row>
    <row r="14" spans="1:11" ht="66" x14ac:dyDescent="0.3">
      <c r="A14" s="19" t="s">
        <v>23</v>
      </c>
      <c r="B14" s="19" t="s">
        <v>20</v>
      </c>
      <c r="C14" s="26">
        <v>1</v>
      </c>
      <c r="D14" s="19" t="s">
        <v>31</v>
      </c>
      <c r="E14" s="19" t="s">
        <v>32</v>
      </c>
      <c r="F14" s="18" t="s">
        <v>59</v>
      </c>
      <c r="G14" s="21">
        <v>672</v>
      </c>
      <c r="H14" s="25" t="s">
        <v>54</v>
      </c>
      <c r="I14" s="27">
        <v>4290</v>
      </c>
      <c r="J14" s="28">
        <f t="shared" si="0"/>
        <v>4290</v>
      </c>
      <c r="K14" s="25" t="s">
        <v>54</v>
      </c>
    </row>
    <row r="15" spans="1:11" ht="66" x14ac:dyDescent="0.3">
      <c r="A15" s="19" t="s">
        <v>23</v>
      </c>
      <c r="B15" s="19" t="s">
        <v>20</v>
      </c>
      <c r="C15" s="26">
        <v>1</v>
      </c>
      <c r="D15" s="19" t="s">
        <v>33</v>
      </c>
      <c r="E15" s="19" t="s">
        <v>34</v>
      </c>
      <c r="F15" s="18" t="s">
        <v>60</v>
      </c>
      <c r="G15" s="18">
        <v>2933</v>
      </c>
      <c r="H15" s="25" t="s">
        <v>48</v>
      </c>
      <c r="I15" s="20">
        <v>2000</v>
      </c>
      <c r="J15" s="28">
        <f t="shared" si="0"/>
        <v>2000</v>
      </c>
      <c r="K15" s="25" t="s">
        <v>48</v>
      </c>
    </row>
    <row r="16" spans="1:11" ht="66" x14ac:dyDescent="0.3">
      <c r="A16" s="19" t="s">
        <v>23</v>
      </c>
      <c r="B16" s="19" t="s">
        <v>20</v>
      </c>
      <c r="C16" s="26">
        <v>1</v>
      </c>
      <c r="D16" s="19" t="s">
        <v>35</v>
      </c>
      <c r="E16" s="19" t="s">
        <v>36</v>
      </c>
      <c r="F16" s="18" t="s">
        <v>59</v>
      </c>
      <c r="G16" s="18">
        <v>1226</v>
      </c>
      <c r="H16" s="25" t="s">
        <v>47</v>
      </c>
      <c r="I16" s="27">
        <v>1500</v>
      </c>
      <c r="J16" s="28">
        <f t="shared" si="0"/>
        <v>1500</v>
      </c>
      <c r="K16" s="21"/>
    </row>
    <row r="17" spans="1:11" ht="52.8" x14ac:dyDescent="0.3">
      <c r="A17" s="19" t="s">
        <v>23</v>
      </c>
      <c r="B17" s="19" t="s">
        <v>20</v>
      </c>
      <c r="C17" s="26">
        <v>1</v>
      </c>
      <c r="D17" s="19" t="s">
        <v>37</v>
      </c>
      <c r="E17" s="19" t="s">
        <v>38</v>
      </c>
      <c r="F17" s="18" t="s">
        <v>59</v>
      </c>
      <c r="G17" s="21">
        <v>453</v>
      </c>
      <c r="H17" s="25" t="s">
        <v>57</v>
      </c>
      <c r="I17" s="27">
        <v>5600</v>
      </c>
      <c r="J17" s="28">
        <f t="shared" si="0"/>
        <v>5600</v>
      </c>
      <c r="K17" s="21"/>
    </row>
    <row r="18" spans="1:11" ht="39.6" x14ac:dyDescent="0.3">
      <c r="A18" s="19" t="s">
        <v>23</v>
      </c>
      <c r="B18" s="19" t="s">
        <v>20</v>
      </c>
      <c r="C18" s="26">
        <v>1</v>
      </c>
      <c r="D18" s="19" t="s">
        <v>39</v>
      </c>
      <c r="E18" s="19"/>
      <c r="F18" s="18" t="s">
        <v>59</v>
      </c>
      <c r="G18" s="21" t="s">
        <v>56</v>
      </c>
      <c r="H18" s="25" t="s">
        <v>55</v>
      </c>
      <c r="I18" s="27">
        <v>1690</v>
      </c>
      <c r="J18" s="28">
        <f t="shared" si="0"/>
        <v>1690</v>
      </c>
      <c r="K18" s="21"/>
    </row>
    <row r="19" spans="1:11" ht="66" x14ac:dyDescent="0.3">
      <c r="A19" s="19" t="s">
        <v>23</v>
      </c>
      <c r="B19" s="19" t="s">
        <v>20</v>
      </c>
      <c r="C19" s="26">
        <v>1</v>
      </c>
      <c r="D19" s="19" t="s">
        <v>21</v>
      </c>
      <c r="E19" s="19" t="s">
        <v>22</v>
      </c>
      <c r="F19" s="18" t="s">
        <v>59</v>
      </c>
      <c r="G19" s="18">
        <v>1135</v>
      </c>
      <c r="H19" s="25" t="s">
        <v>45</v>
      </c>
      <c r="I19" s="27">
        <v>2500</v>
      </c>
      <c r="J19" s="28">
        <f t="shared" si="0"/>
        <v>2500</v>
      </c>
      <c r="K19" s="21"/>
    </row>
    <row r="20" spans="1:11" ht="79.2" x14ac:dyDescent="0.3">
      <c r="A20" s="19" t="s">
        <v>23</v>
      </c>
      <c r="B20" s="19" t="s">
        <v>20</v>
      </c>
      <c r="C20" s="26">
        <v>1</v>
      </c>
      <c r="D20" s="23" t="s">
        <v>66</v>
      </c>
      <c r="E20" s="24" t="s">
        <v>73</v>
      </c>
      <c r="F20" s="18" t="s">
        <v>59</v>
      </c>
      <c r="G20" s="21">
        <v>668</v>
      </c>
      <c r="H20" s="25" t="s">
        <v>68</v>
      </c>
      <c r="I20" s="27">
        <v>160</v>
      </c>
      <c r="J20" s="28">
        <f t="shared" si="0"/>
        <v>160</v>
      </c>
      <c r="K20" s="25" t="s">
        <v>69</v>
      </c>
    </row>
    <row r="21" spans="1:11" ht="52.8" x14ac:dyDescent="0.3">
      <c r="A21" s="19" t="s">
        <v>23</v>
      </c>
      <c r="B21" s="19" t="s">
        <v>20</v>
      </c>
      <c r="C21" s="26">
        <v>1</v>
      </c>
      <c r="D21" s="23" t="s">
        <v>67</v>
      </c>
      <c r="E21" s="23" t="s">
        <v>70</v>
      </c>
      <c r="F21" s="18" t="s">
        <v>59</v>
      </c>
      <c r="G21" s="21" t="s">
        <v>71</v>
      </c>
      <c r="H21" s="25" t="s">
        <v>72</v>
      </c>
      <c r="I21" s="27">
        <v>600</v>
      </c>
      <c r="J21" s="28">
        <f t="shared" si="0"/>
        <v>600</v>
      </c>
      <c r="K21" s="21"/>
    </row>
    <row r="22" spans="1:11" x14ac:dyDescent="0.3">
      <c r="A22" s="11"/>
      <c r="B22" s="11"/>
      <c r="C22" s="12"/>
      <c r="D22" s="11"/>
      <c r="E22" s="11"/>
      <c r="F22" s="13"/>
      <c r="G22" s="13"/>
      <c r="H22" s="13"/>
      <c r="I22" s="14"/>
      <c r="J22" s="15">
        <f t="shared" si="0"/>
        <v>0</v>
      </c>
      <c r="K22" s="13"/>
    </row>
    <row r="23" spans="1:11" x14ac:dyDescent="0.3">
      <c r="I23" s="2" t="s">
        <v>40</v>
      </c>
      <c r="J23" s="3">
        <f>SUM(J7:J22)</f>
        <v>47120</v>
      </c>
    </row>
  </sheetData>
  <hyperlinks>
    <hyperlink ref="H15" r:id="rId1" xr:uid="{49DCBAF5-E2FA-4F77-983A-DB6647326604}"/>
    <hyperlink ref="H13" r:id="rId2" xr:uid="{D1889B69-9CD8-4E9F-BE74-8AB35602ECE1}"/>
    <hyperlink ref="H11" r:id="rId3" xr:uid="{70E13EA0-8AB4-4182-B1C6-F041DE0ED88E}"/>
    <hyperlink ref="H10" r:id="rId4" xr:uid="{34931C8B-B1A7-4B9B-8694-0AA9D290701B}"/>
    <hyperlink ref="H7" r:id="rId5" xr:uid="{B1DB8D2A-92AF-4431-AABD-DD5A8265FD81}"/>
    <hyperlink ref="H9" r:id="rId6" xr:uid="{B58F406C-6ACE-49DA-A3F3-40200DFBA6FC}"/>
    <hyperlink ref="H16" r:id="rId7" xr:uid="{1E54EB27-E902-4A1D-8B16-60F01C335226}"/>
    <hyperlink ref="H19" r:id="rId8" xr:uid="{6DC3954E-9C40-4D05-BB59-5C5996D944CC}"/>
    <hyperlink ref="H12" r:id="rId9" xr:uid="{3C66DF81-9689-4FFC-96E0-1ED5BFD5F019}"/>
    <hyperlink ref="H14" r:id="rId10" xr:uid="{6CDDC527-062B-4418-93E2-4A6B570C7D18}"/>
    <hyperlink ref="H18" r:id="rId11" xr:uid="{71CAD6FB-7BE9-4311-A0E8-DBF4232109F4}"/>
    <hyperlink ref="H17" r:id="rId12" xr:uid="{53B076C8-A86C-4DD1-BB52-DBC9FF15F812}"/>
    <hyperlink ref="H8" r:id="rId13" xr:uid="{8D1F30B4-5155-412F-B4C7-25A1440B90A5}"/>
    <hyperlink ref="K8" r:id="rId14" display="https://cdn.sparkfun.com/datasheets/Sensors/ForceFlex/hx711_english.pdf" xr:uid="{A4F2014C-9C68-4624-8E6F-D14908F084B8}"/>
    <hyperlink ref="K9" r:id="rId15" xr:uid="{4BC9AD55-2951-4380-9221-75788F7AB2C6}"/>
    <hyperlink ref="K14" r:id="rId16" xr:uid="{2B9A1162-199D-44D6-AFDD-5A58F5B54D69}"/>
    <hyperlink ref="K7" r:id="rId17" display="https://cdn.sparkfun.com/assets/1/9/7/7/b/loadsensor.pdf" xr:uid="{572B5A09-6DFC-4A5D-8B9C-ACF981F0B084}"/>
    <hyperlink ref="K11" r:id="rId18" xr:uid="{BCD4E10B-FE06-459C-8D59-5A504AA3B0AC}"/>
    <hyperlink ref="K15" r:id="rId19" xr:uid="{95A0A40A-0951-4CF5-BB85-25D1AAE37D48}"/>
    <hyperlink ref="H20" r:id="rId20" xr:uid="{5B5673BD-E618-47DD-A5D2-662C2BDDA43C}"/>
    <hyperlink ref="K20" r:id="rId21" xr:uid="{83D76DB4-DB31-4B4A-A5B8-194700E1D3E4}"/>
    <hyperlink ref="H21" r:id="rId22" xr:uid="{BD3401A2-019C-47D3-B331-1716ABCF8479}"/>
  </hyperlinks>
  <pageMargins left="0.19685039370078741" right="0" top="0.35433070866141736" bottom="0.19685039370078741" header="0" footer="0"/>
  <pageSetup paperSize="9" orientation="landscape" horizontalDpi="300" verticalDpi="300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selection activeCell="B16" sqref="B16"/>
    </sheetView>
  </sheetViews>
  <sheetFormatPr baseColWidth="10" defaultColWidth="8.6640625" defaultRowHeight="14.4" x14ac:dyDescent="0.3"/>
  <cols>
    <col min="1" max="1" width="26" customWidth="1"/>
    <col min="2" max="4" width="16" customWidth="1"/>
  </cols>
  <sheetData>
    <row r="1" spans="1:4" ht="17.399999999999999" x14ac:dyDescent="0.3">
      <c r="A1" s="1" t="s">
        <v>41</v>
      </c>
    </row>
    <row r="3" spans="1:4" x14ac:dyDescent="0.3">
      <c r="A3" s="4" t="s">
        <v>2</v>
      </c>
      <c r="B3" s="4" t="s">
        <v>11</v>
      </c>
      <c r="C3" s="4" t="s">
        <v>23</v>
      </c>
      <c r="D3" s="4" t="s">
        <v>42</v>
      </c>
    </row>
    <row r="4" spans="1:4" x14ac:dyDescent="0.3">
      <c r="A4" s="5" t="s">
        <v>17</v>
      </c>
      <c r="B4" s="6">
        <f>SUMIFS(BOM!$J$7:$J$22,BOM!$A$7:$A$22,"Mat",BOM!$B$7:$B$22,$A4)</f>
        <v>8490</v>
      </c>
      <c r="C4" s="6">
        <f>SUMIFS(BOM!$J$7:$J$22,BOM!$A$7:$A$22,"Control",BOM!$B$7:$B$22,$A4)</f>
        <v>4990</v>
      </c>
      <c r="D4" s="6">
        <f>B4+C4</f>
        <v>13480</v>
      </c>
    </row>
    <row r="5" spans="1:4" x14ac:dyDescent="0.3">
      <c r="A5" s="5" t="s">
        <v>12</v>
      </c>
      <c r="B5" s="6">
        <f>SUMIFS(BOM!$J$7:$J$22,BOM!$A$7:$A$22,"Mat",BOM!$B$7:$B$22,$A5)</f>
        <v>11900</v>
      </c>
      <c r="C5" s="6">
        <f>SUMIFS(BOM!$J$7:$J$22,BOM!$A$7:$A$22,"Control",BOM!$B$7:$B$22,$A5)</f>
        <v>0</v>
      </c>
      <c r="D5" s="6">
        <f>B5+C5</f>
        <v>11900</v>
      </c>
    </row>
    <row r="6" spans="1:4" x14ac:dyDescent="0.3">
      <c r="A6" s="5" t="s">
        <v>26</v>
      </c>
      <c r="B6" s="6">
        <f>SUMIFS(BOM!$J$7:$J$22,BOM!$A$7:$A$22,"Mat",BOM!$B$7:$B$22,$A6)</f>
        <v>0</v>
      </c>
      <c r="C6" s="6">
        <f>SUMIFS(BOM!$J$7:$J$22,BOM!$A$7:$A$22,"Control",BOM!$B$7:$B$22,$A6)</f>
        <v>300</v>
      </c>
      <c r="D6" s="6">
        <f>B6+C6</f>
        <v>300</v>
      </c>
    </row>
    <row r="7" spans="1:4" x14ac:dyDescent="0.3">
      <c r="A7" s="5" t="s">
        <v>62</v>
      </c>
      <c r="B7" s="6">
        <f>SUMIFS(BOM!$J$7:$J$22,BOM!$A$7:$A$22,"Mat",BOM!$B$7:$B$22,$A7)</f>
        <v>0</v>
      </c>
      <c r="C7" s="6">
        <f>SUMIFS(BOM!$J$7:$J$22,BOM!$A$7:$A$22,"Control",BOM!$B$7:$B$22,$A7)</f>
        <v>0</v>
      </c>
      <c r="D7" s="6">
        <f>B7+C7</f>
        <v>0</v>
      </c>
    </row>
    <row r="8" spans="1:4" x14ac:dyDescent="0.3">
      <c r="A8" s="5" t="s">
        <v>20</v>
      </c>
      <c r="B8" s="6">
        <f>SUMIFS(BOM!$J$7:$J$22,BOM!$A$7:$A$22,"Mat",BOM!$B$7:$B$22,$A8)</f>
        <v>3000</v>
      </c>
      <c r="C8" s="6">
        <f>SUMIFS(BOM!$J$7:$J$22,BOM!$A$7:$A$22,"Control",BOM!$B$7:$B$22,$A8)</f>
        <v>18440</v>
      </c>
      <c r="D8" s="6">
        <f>B8+C8</f>
        <v>21440</v>
      </c>
    </row>
    <row r="9" spans="1:4" x14ac:dyDescent="0.3">
      <c r="A9" s="7" t="s">
        <v>40</v>
      </c>
      <c r="B9" s="8">
        <f>SUM(B4:B8)</f>
        <v>23390</v>
      </c>
      <c r="C9" s="8">
        <f>SUM(C4:C8)</f>
        <v>23730</v>
      </c>
      <c r="D9" s="8">
        <f>SUM(D4:D8)</f>
        <v>47120</v>
      </c>
    </row>
    <row r="11" spans="1:4" x14ac:dyDescent="0.3">
      <c r="A11" s="9" t="s">
        <v>43</v>
      </c>
      <c r="D11" s="10">
        <f>D9-BOM!J23</f>
        <v>0</v>
      </c>
    </row>
  </sheetData>
  <pageMargins left="0.75" right="0.75" top="1" bottom="1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BOM</vt:lpstr>
      <vt:lpstr>Resumen</vt:lpstr>
      <vt:lpstr>BOM!Área_de_impresión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Josefa Carolina Ramírez Cruces</cp:lastModifiedBy>
  <cp:revision>0</cp:revision>
  <cp:lastPrinted>2026-10-25T21:16:12Z</cp:lastPrinted>
  <dcterms:created xsi:type="dcterms:W3CDTF">2026-10-25T00:13:08Z</dcterms:created>
  <dcterms:modified xsi:type="dcterms:W3CDTF">2026-10-25T21:19:25Z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cmfOc--qf8YjKCI5yKJa_Oa5wj1gbxcLbiUouOtUYPo</vt:lpwstr>
  </property>
</Properties>
</file>